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3040" windowHeight="9192"/>
  </bookViews>
  <sheets>
    <sheet name="M=1,5_Const" sheetId="1" r:id="rId1"/>
    <sheet name="M=1,5_Var" sheetId="2" r:id="rId2"/>
    <sheet name="Const_p135" sheetId="9" r:id="rId3"/>
    <sheet name="Var_p135" sheetId="8" r:id="rId4"/>
    <sheet name="Const_p105" sheetId="3" r:id="rId5"/>
    <sheet name="Var_p105" sheetId="4" r:id="rId6"/>
  </sheets>
  <externalReferences>
    <externalReference r:id="rId7"/>
    <externalReference r:id="rId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9" l="1"/>
  <c r="N18" i="9" s="1"/>
  <c r="J17" i="9"/>
  <c r="J18" i="9" s="1"/>
  <c r="J19" i="9" s="1"/>
  <c r="Q15" i="9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N19" i="9" s="1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I13" i="9"/>
  <c r="I17" i="9" s="1"/>
  <c r="I18" i="9" s="1"/>
  <c r="I19" i="9" s="1"/>
  <c r="H13" i="9"/>
  <c r="H11" i="9" s="1"/>
  <c r="H14" i="9" s="1"/>
  <c r="G13" i="9"/>
  <c r="Q4" i="9"/>
  <c r="Q10" i="9" s="1"/>
  <c r="H4" i="9"/>
  <c r="H10" i="9" s="1"/>
  <c r="G4" i="9"/>
  <c r="G10" i="9" s="1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I3" i="9"/>
  <c r="I4" i="9" s="1"/>
  <c r="I10" i="9" s="1"/>
  <c r="H3" i="9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3" i="8"/>
  <c r="H4" i="8" s="1"/>
  <c r="I2" i="8"/>
  <c r="J2" i="8" s="1"/>
  <c r="K2" i="8" s="1"/>
  <c r="L2" i="8" s="1"/>
  <c r="M2" i="8" s="1"/>
  <c r="N2" i="8" s="1"/>
  <c r="O2" i="8" s="1"/>
  <c r="P2" i="8" s="1"/>
  <c r="Q2" i="8" s="1"/>
  <c r="H2" i="8"/>
  <c r="J3" i="9" l="1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4" i="9" l="1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M3" i="9"/>
  <c r="K11" i="9"/>
  <c r="K14" i="9" s="1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Q10" i="2" s="1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3" i="2"/>
  <c r="H4" i="2" s="1"/>
  <c r="I2" i="2"/>
  <c r="J2" i="2" s="1"/>
  <c r="K2" i="2" s="1"/>
  <c r="L2" i="2" s="1"/>
  <c r="M2" i="2" s="1"/>
  <c r="N2" i="2" s="1"/>
  <c r="O2" i="2" s="1"/>
  <c r="P2" i="2" s="1"/>
  <c r="Q2" i="2" s="1"/>
  <c r="H2" i="2"/>
  <c r="Q17" i="2" l="1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P17" i="4" l="1"/>
  <c r="P18" i="4" s="1"/>
  <c r="P19" i="4" s="1"/>
  <c r="P21" i="4" s="1"/>
  <c r="L17" i="4"/>
  <c r="L18" i="4" s="1"/>
  <c r="H17" i="4"/>
  <c r="H18" i="4" s="1"/>
  <c r="H19" i="4" s="1"/>
  <c r="H21" i="4" s="1"/>
  <c r="Q14" i="4"/>
  <c r="Q13" i="4"/>
  <c r="Q17" i="4" s="1"/>
  <c r="P13" i="4"/>
  <c r="O13" i="4"/>
  <c r="O17" i="4" s="1"/>
  <c r="O18" i="4" s="1"/>
  <c r="O19" i="4" s="1"/>
  <c r="O21" i="4" s="1"/>
  <c r="N13" i="4"/>
  <c r="M13" i="4"/>
  <c r="L13" i="4"/>
  <c r="L19" i="4" s="1"/>
  <c r="L21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10" i="4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K18" i="3"/>
  <c r="O17" i="3"/>
  <c r="O18" i="3" s="1"/>
  <c r="N17" i="3"/>
  <c r="N18" i="3" s="1"/>
  <c r="K17" i="3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N13" i="3"/>
  <c r="N19" i="3" s="1"/>
  <c r="M13" i="3"/>
  <c r="M17" i="3" s="1"/>
  <c r="M18" i="3" s="1"/>
  <c r="L13" i="3"/>
  <c r="L17" i="3" s="1"/>
  <c r="L18" i="3" s="1"/>
  <c r="K13" i="3"/>
  <c r="K19" i="3" s="1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3" i="3"/>
  <c r="H4" i="3" s="1"/>
  <c r="H2" i="3"/>
  <c r="I2" i="3" s="1"/>
  <c r="J2" i="3" s="1"/>
  <c r="K2" i="3" s="1"/>
  <c r="L2" i="3" s="1"/>
  <c r="M2" i="3" s="1"/>
  <c r="N2" i="3" s="1"/>
  <c r="O2" i="3" s="1"/>
  <c r="P2" i="3" s="1"/>
  <c r="Q2" i="3" s="1"/>
  <c r="O20" i="4" l="1"/>
  <c r="O22" i="4"/>
  <c r="Q15" i="4"/>
  <c r="Q18" i="4"/>
  <c r="J20" i="4"/>
  <c r="J22" i="4"/>
  <c r="H20" i="4"/>
  <c r="H22" i="4"/>
  <c r="L22" i="4"/>
  <c r="L20" i="4"/>
  <c r="H10" i="4"/>
  <c r="G13" i="4"/>
  <c r="G10" i="4"/>
  <c r="M19" i="4"/>
  <c r="M21" i="4" s="1"/>
  <c r="P20" i="4"/>
  <c r="P22" i="4"/>
  <c r="M17" i="4"/>
  <c r="M18" i="4" s="1"/>
  <c r="I3" i="4"/>
  <c r="N17" i="4"/>
  <c r="N18" i="4" s="1"/>
  <c r="N19" i="4" s="1"/>
  <c r="N21" i="4" s="1"/>
  <c r="I19" i="4"/>
  <c r="I21" i="4" s="1"/>
  <c r="Q19" i="4"/>
  <c r="Q21" i="4" s="1"/>
  <c r="K19" i="4"/>
  <c r="K21" i="4" s="1"/>
  <c r="O19" i="3"/>
  <c r="H10" i="3"/>
  <c r="G13" i="3"/>
  <c r="G10" i="3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H4" i="1"/>
  <c r="G13" i="1" s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/>
  <c r="I4" i="1" s="1"/>
  <c r="H3" i="1"/>
  <c r="G10" i="1" l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J4" i="4"/>
  <c r="J10" i="4" s="1"/>
  <c r="K3" i="4"/>
  <c r="H11" i="4"/>
  <c r="H14" i="4" s="1"/>
  <c r="G23" i="4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K11" i="3"/>
  <c r="K14" i="3" s="1"/>
  <c r="M3" i="3"/>
  <c r="L4" i="3"/>
  <c r="L10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N11" i="3"/>
  <c r="N14" i="3" s="1"/>
  <c r="M11" i="3"/>
  <c r="M14" i="3" s="1"/>
  <c r="O4" i="3"/>
  <c r="O10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<sst xmlns="http://schemas.openxmlformats.org/spreadsheetml/2006/main" count="157" uniqueCount="23">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</sst>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NumberFormat="1" applyFill="1" applyBorder="1"/>
    <xf numFmtId="0" fontId="0" fillId="0" borderId="0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2" borderId="1" xfId="0" applyFill="1" applyBorder="1"/>
    <xf numFmtId="166" fontId="0" fillId="4" borderId="1" xfId="0" applyNumberFormat="1" applyFill="1" applyBorder="1"/>
    <xf numFmtId="0" fontId="0" fillId="3" borderId="1" xfId="0" applyFill="1" applyBorder="1"/>
    <xf numFmtId="2" fontId="0" fillId="4" borderId="1" xfId="0" applyNumberFormat="1" applyFill="1" applyBorder="1"/>
    <xf numFmtId="1" fontId="0" fillId="3" borderId="1" xfId="0" applyNumberFormat="1" applyFill="1" applyBorder="1"/>
    <xf numFmtId="1" fontId="0" fillId="4" borderId="1" xfId="0" applyNumberFormat="1" applyFill="1" applyBorder="1"/>
    <xf numFmtId="165" fontId="0" fillId="4" borderId="1" xfId="0" applyNumberFormat="1" applyFill="1" applyBorder="1"/>
    <xf numFmtId="0" fontId="0" fillId="4" borderId="0" xfId="0" applyFill="1"/>
    <xf numFmtId="0" fontId="0" fillId="0" borderId="0" xfId="0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23048"/>
        <c:axId val="544115504"/>
      </c:scatterChart>
      <c:valAx>
        <c:axId val="54412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5504"/>
        <c:crosses val="autoZero"/>
        <c:crossBetween val="midCat"/>
      </c:valAx>
      <c:valAx>
        <c:axId val="5441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2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9576"/>
        <c:axId val="454187280"/>
      </c:scatterChart>
      <c:valAx>
        <c:axId val="45418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280"/>
        <c:crosses val="autoZero"/>
        <c:crossBetween val="midCat"/>
      </c:valAx>
      <c:valAx>
        <c:axId val="4541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719384"/>
        <c:axId val="448721352"/>
      </c:scatterChart>
      <c:valAx>
        <c:axId val="448719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21352"/>
        <c:crosses val="autoZero"/>
        <c:crossBetween val="midCat"/>
      </c:valAx>
      <c:valAx>
        <c:axId val="4487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19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957808"/>
        <c:axId val="448730536"/>
      </c:scatterChart>
      <c:valAx>
        <c:axId val="552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8730536"/>
        <c:crosses val="autoZero"/>
        <c:crossBetween val="midCat"/>
      </c:valAx>
      <c:valAx>
        <c:axId val="44873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957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55136"/>
        <c:axId val="613860384"/>
      </c:scatterChart>
      <c:valAx>
        <c:axId val="61385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60384"/>
        <c:crosses val="autoZero"/>
        <c:crossBetween val="midCat"/>
      </c:valAx>
      <c:valAx>
        <c:axId val="6138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85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6368"/>
        <c:axId val="555796040"/>
      </c:scatterChart>
      <c:valAx>
        <c:axId val="55579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040"/>
        <c:crosses val="autoZero"/>
        <c:crossBetween val="midCat"/>
      </c:valAx>
      <c:valAx>
        <c:axId val="55579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86624"/>
        <c:axId val="454187608"/>
      </c:scatterChart>
      <c:valAx>
        <c:axId val="45418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7608"/>
        <c:crosses val="autoZero"/>
        <c:crossBetween val="midCat"/>
      </c:valAx>
      <c:valAx>
        <c:axId val="45418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18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262440"/>
        <c:axId val="532267688"/>
      </c:scatterChart>
      <c:valAx>
        <c:axId val="53226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7688"/>
        <c:crosses val="autoZero"/>
        <c:crossBetween val="midCat"/>
      </c:valAx>
      <c:valAx>
        <c:axId val="53226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26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32728"/>
        <c:axId val="345836664"/>
      </c:scatterChart>
      <c:valAx>
        <c:axId val="34583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6664"/>
        <c:crosses val="autoZero"/>
        <c:crossBetween val="midCat"/>
      </c:valAx>
      <c:valAx>
        <c:axId val="34583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583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00368"/>
        <c:axId val="521295448"/>
      </c:scatterChart>
      <c:valAx>
        <c:axId val="52130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295448"/>
        <c:crosses val="autoZero"/>
        <c:crossBetween val="midCat"/>
      </c:valAx>
      <c:valAx>
        <c:axId val="52129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00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63736"/>
        <c:axId val="553965704"/>
      </c:scatterChart>
      <c:valAx>
        <c:axId val="553963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5704"/>
        <c:crosses val="autoZero"/>
        <c:crossBetween val="midCat"/>
      </c:valAx>
      <c:valAx>
        <c:axId val="55396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63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5056"/>
        <c:axId val="553981448"/>
      </c:scatterChart>
      <c:valAx>
        <c:axId val="55398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448"/>
        <c:crosses val="autoZero"/>
        <c:crossBetween val="midCat"/>
      </c:valAx>
      <c:valAx>
        <c:axId val="55398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 канала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9056"/>
        <c:axId val="552504304"/>
      </c:scatterChart>
      <c:valAx>
        <c:axId val="55249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504304"/>
        <c:crosses val="autoZero"/>
        <c:crossBetween val="midCat"/>
      </c:valAx>
      <c:valAx>
        <c:axId val="55250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9056"/>
        <c:crosses val="autoZero"/>
        <c:crossBetween val="midCat"/>
      </c:valAx>
      <c:spPr>
        <a:noFill/>
        <a:ln cap="rnd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90464"/>
        <c:axId val="555790792"/>
      </c:scatterChart>
      <c:valAx>
        <c:axId val="55579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792"/>
        <c:crosses val="autoZero"/>
        <c:crossBetween val="midCat"/>
      </c:valAx>
      <c:valAx>
        <c:axId val="55579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7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95944"/>
        <c:axId val="533496272"/>
      </c:scatterChart>
      <c:valAx>
        <c:axId val="53349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6272"/>
        <c:crosses val="autoZero"/>
        <c:crossBetween val="midCat"/>
      </c:valAx>
      <c:valAx>
        <c:axId val="5334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349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9760"/>
        <c:axId val="544102712"/>
      </c:scatterChart>
      <c:valAx>
        <c:axId val="54409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2712"/>
        <c:crosses val="autoZero"/>
        <c:crossBetween val="midCat"/>
      </c:valAx>
      <c:valAx>
        <c:axId val="54410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93200"/>
        <c:axId val="544099432"/>
      </c:scatterChart>
      <c:valAx>
        <c:axId val="54409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9432"/>
        <c:crosses val="autoZero"/>
        <c:crossBetween val="midCat"/>
      </c:valAx>
      <c:valAx>
        <c:axId val="5440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0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92040"/>
        <c:axId val="454791712"/>
      </c:scatterChart>
      <c:valAx>
        <c:axId val="45479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1712"/>
        <c:crosses val="autoZero"/>
        <c:crossBetween val="midCat"/>
      </c:valAx>
      <c:valAx>
        <c:axId val="4547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79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113536"/>
        <c:axId val="544104680"/>
      </c:scatterChart>
      <c:valAx>
        <c:axId val="54411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04680"/>
        <c:crosses val="autoZero"/>
        <c:crossBetween val="midCat"/>
      </c:valAx>
      <c:valAx>
        <c:axId val="54410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411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89648"/>
        <c:axId val="553981120"/>
      </c:scatterChart>
      <c:valAx>
        <c:axId val="5539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1120"/>
        <c:crosses val="autoZero"/>
        <c:crossBetween val="midCat"/>
      </c:valAx>
      <c:valAx>
        <c:axId val="55398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39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11720"/>
        <c:axId val="454810736"/>
      </c:scatterChart>
      <c:valAx>
        <c:axId val="45481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0736"/>
        <c:crosses val="autoZero"/>
        <c:crossBetween val="midCat"/>
      </c:valAx>
      <c:valAx>
        <c:axId val="4548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81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42024"/>
        <c:axId val="521334480"/>
      </c:scatterChart>
      <c:valAx>
        <c:axId val="52134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34480"/>
        <c:crosses val="autoZero"/>
        <c:crossBetween val="midCat"/>
      </c:valAx>
      <c:valAx>
        <c:axId val="5213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134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495448"/>
        <c:axId val="552494792"/>
      </c:scatterChart>
      <c:valAx>
        <c:axId val="55249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4792"/>
        <c:crosses val="autoZero"/>
        <c:crossBetween val="midCat"/>
      </c:valAx>
      <c:valAx>
        <c:axId val="5524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49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Var_p105!$G$5:$Q$5</c:f>
              <c:numCache>
                <c:formatCode>General</c:formatCode>
                <c:ptCount val="11"/>
                <c:pt idx="0">
                  <c:v>17.965677749011054</c:v>
                </c:pt>
                <c:pt idx="1">
                  <c:v>19.913413805299584</c:v>
                </c:pt>
                <c:pt idx="2">
                  <c:v>22.200045404994878</c:v>
                </c:pt>
                <c:pt idx="3">
                  <c:v>24.90816735873263</c:v>
                </c:pt>
                <c:pt idx="4">
                  <c:v>28.148271200498691</c:v>
                </c:pt>
                <c:pt idx="5">
                  <c:v>32.070248179569305</c:v>
                </c:pt>
                <c:pt idx="6">
                  <c:v>36.882190050039029</c:v>
                </c:pt>
                <c:pt idx="7">
                  <c:v>42.881135090875794</c:v>
                </c:pt>
                <c:pt idx="8">
                  <c:v>50.505904672857866</c:v>
                </c:pt>
                <c:pt idx="9">
                  <c:v>60.433923409349447</c:v>
                </c:pt>
                <c:pt idx="10">
                  <c:v>73.774957760448117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12304"/>
        <c:axId val="523711320"/>
      </c:scatterChart>
      <c:valAx>
        <c:axId val="5237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1320"/>
        <c:crosses val="autoZero"/>
        <c:crossBetween val="midCat"/>
      </c:valAx>
      <c:valAx>
        <c:axId val="52371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71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15240</xdr:rowOff>
        </xdr:from>
        <xdr:to>
          <xdr:col>2</xdr:col>
          <xdr:colOff>594360</xdr:colOff>
          <xdr:row>17</xdr:row>
          <xdr:rowOff>22860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107950</xdr:rowOff>
    </xdr:from>
    <xdr:to>
      <xdr:col>8</xdr:col>
      <xdr:colOff>304800</xdr:colOff>
      <xdr:row>37</xdr:row>
      <xdr:rowOff>6350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107950</xdr:rowOff>
    </xdr:from>
    <xdr:to>
      <xdr:col>16</xdr:col>
      <xdr:colOff>304800</xdr:colOff>
      <xdr:row>37</xdr:row>
      <xdr:rowOff>6350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120650</xdr:rowOff>
    </xdr:from>
    <xdr:to>
      <xdr:col>8</xdr:col>
      <xdr:colOff>304800</xdr:colOff>
      <xdr:row>54</xdr:row>
      <xdr:rowOff>19050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38</xdr:row>
      <xdr:rowOff>107950</xdr:rowOff>
    </xdr:from>
    <xdr:to>
      <xdr:col>16</xdr:col>
      <xdr:colOff>317500</xdr:colOff>
      <xdr:row>54</xdr:row>
      <xdr:rowOff>6350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15</xdr:row>
          <xdr:rowOff>30480</xdr:rowOff>
        </xdr:from>
        <xdr:to>
          <xdr:col>3</xdr:col>
          <xdr:colOff>601980</xdr:colOff>
          <xdr:row>18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</xdr:row>
      <xdr:rowOff>38099</xdr:rowOff>
    </xdr:from>
    <xdr:to>
      <xdr:col>8</xdr:col>
      <xdr:colOff>304800</xdr:colOff>
      <xdr:row>41</xdr:row>
      <xdr:rowOff>5442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48986</xdr:rowOff>
    </xdr:from>
    <xdr:to>
      <xdr:col>16</xdr:col>
      <xdr:colOff>304800</xdr:colOff>
      <xdr:row>41</xdr:row>
      <xdr:rowOff>16329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10885</xdr:colOff>
      <xdr:row>42</xdr:row>
      <xdr:rowOff>16329</xdr:rowOff>
    </xdr:from>
    <xdr:to>
      <xdr:col>8</xdr:col>
      <xdr:colOff>315685</xdr:colOff>
      <xdr:row>56</xdr:row>
      <xdr:rowOff>168729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10885</xdr:colOff>
      <xdr:row>41</xdr:row>
      <xdr:rowOff>179615</xdr:rowOff>
    </xdr:from>
    <xdr:to>
      <xdr:col>16</xdr:col>
      <xdr:colOff>315685</xdr:colOff>
      <xdr:row>56</xdr:row>
      <xdr:rowOff>146958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175260</xdr:rowOff>
        </xdr:from>
        <xdr:to>
          <xdr:col>4</xdr:col>
          <xdr:colOff>15240</xdr:colOff>
          <xdr:row>18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22</xdr:row>
      <xdr:rowOff>27215</xdr:rowOff>
    </xdr:from>
    <xdr:to>
      <xdr:col>8</xdr:col>
      <xdr:colOff>304800</xdr:colOff>
      <xdr:row>36</xdr:row>
      <xdr:rowOff>179615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22</xdr:row>
      <xdr:rowOff>38101</xdr:rowOff>
    </xdr:from>
    <xdr:to>
      <xdr:col>16</xdr:col>
      <xdr:colOff>304800</xdr:colOff>
      <xdr:row>37</xdr:row>
      <xdr:rowOff>5444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10886</xdr:colOff>
      <xdr:row>37</xdr:row>
      <xdr:rowOff>179615</xdr:rowOff>
    </xdr:from>
    <xdr:to>
      <xdr:col>8</xdr:col>
      <xdr:colOff>315686</xdr:colOff>
      <xdr:row>52</xdr:row>
      <xdr:rowOff>146958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38</xdr:row>
      <xdr:rowOff>5443</xdr:rowOff>
    </xdr:from>
    <xdr:to>
      <xdr:col>16</xdr:col>
      <xdr:colOff>304800</xdr:colOff>
      <xdr:row>52</xdr:row>
      <xdr:rowOff>157843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15</xdr:row>
          <xdr:rowOff>7620</xdr:rowOff>
        </xdr:from>
        <xdr:to>
          <xdr:col>4</xdr:col>
          <xdr:colOff>15240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594360</xdr:colOff>
      <xdr:row>24</xdr:row>
      <xdr:rowOff>175260</xdr:rowOff>
    </xdr:from>
    <xdr:to>
      <xdr:col>8</xdr:col>
      <xdr:colOff>289560</xdr:colOff>
      <xdr:row>39</xdr:row>
      <xdr:rowOff>175260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175260</xdr:rowOff>
    </xdr:from>
    <xdr:to>
      <xdr:col>16</xdr:col>
      <xdr:colOff>304800</xdr:colOff>
      <xdr:row>39</xdr:row>
      <xdr:rowOff>175260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42</xdr:row>
      <xdr:rowOff>7620</xdr:rowOff>
    </xdr:from>
    <xdr:to>
      <xdr:col>8</xdr:col>
      <xdr:colOff>289560</xdr:colOff>
      <xdr:row>57</xdr:row>
      <xdr:rowOff>7620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15240</xdr:colOff>
      <xdr:row>41</xdr:row>
      <xdr:rowOff>175260</xdr:rowOff>
    </xdr:from>
    <xdr:to>
      <xdr:col>16</xdr:col>
      <xdr:colOff>320040</xdr:colOff>
      <xdr:row>56</xdr:row>
      <xdr:rowOff>175260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22860</xdr:rowOff>
        </xdr:from>
        <xdr:to>
          <xdr:col>4</xdr:col>
          <xdr:colOff>0</xdr:colOff>
          <xdr:row>18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19</xdr:row>
      <xdr:rowOff>175260</xdr:rowOff>
    </xdr:from>
    <xdr:to>
      <xdr:col>8</xdr:col>
      <xdr:colOff>304800</xdr:colOff>
      <xdr:row>34</xdr:row>
      <xdr:rowOff>175260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594360</xdr:colOff>
      <xdr:row>20</xdr:row>
      <xdr:rowOff>7620</xdr:rowOff>
    </xdr:from>
    <xdr:to>
      <xdr:col>16</xdr:col>
      <xdr:colOff>289560</xdr:colOff>
      <xdr:row>35</xdr:row>
      <xdr:rowOff>7620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36</xdr:row>
      <xdr:rowOff>7620</xdr:rowOff>
    </xdr:from>
    <xdr:to>
      <xdr:col>8</xdr:col>
      <xdr:colOff>289560</xdr:colOff>
      <xdr:row>51</xdr:row>
      <xdr:rowOff>7620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35</xdr:row>
      <xdr:rowOff>129540</xdr:rowOff>
    </xdr:from>
    <xdr:to>
      <xdr:col>16</xdr:col>
      <xdr:colOff>304800</xdr:colOff>
      <xdr:row>50</xdr:row>
      <xdr:rowOff>129540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15</xdr:row>
          <xdr:rowOff>167640</xdr:rowOff>
        </xdr:from>
        <xdr:to>
          <xdr:col>4</xdr:col>
          <xdr:colOff>15240</xdr:colOff>
          <xdr:row>19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24</xdr:row>
      <xdr:rowOff>171450</xdr:rowOff>
    </xdr:from>
    <xdr:to>
      <xdr:col>8</xdr:col>
      <xdr:colOff>317500</xdr:colOff>
      <xdr:row>40</xdr:row>
      <xdr:rowOff>69850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158750</xdr:rowOff>
    </xdr:from>
    <xdr:to>
      <xdr:col>16</xdr:col>
      <xdr:colOff>304800</xdr:colOff>
      <xdr:row>40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171450</xdr:rowOff>
    </xdr:from>
    <xdr:to>
      <xdr:col>8</xdr:col>
      <xdr:colOff>304800</xdr:colOff>
      <xdr:row>57</xdr:row>
      <xdr:rowOff>69850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42</xdr:row>
      <xdr:rowOff>6350</xdr:rowOff>
    </xdr:from>
    <xdr:to>
      <xdr:col>16</xdr:col>
      <xdr:colOff>317500</xdr:colOff>
      <xdr:row>57</xdr:row>
      <xdr:rowOff>82550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80;&#1093;&#1072;&#1080;&#1083;/Downloads/MKR5_Bodrov%20A.A.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80;&#1093;&#1072;&#1080;&#1083;/Downloads/&#1060;&#1048;&#1053;&#1040;&#1051;&#1068;&#1053;&#1067;&#1049;%20&#1057;%20&#1044;&#1047;%20MKR5_Bodrov%20A.A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0.45201084371136407</v>
          </cell>
          <cell r="H10">
            <v>0.45201084248514894</v>
          </cell>
          <cell r="I10">
            <v>0.45201077485286445</v>
          </cell>
          <cell r="J10">
            <v>0.45201071834618689</v>
          </cell>
          <cell r="K10">
            <v>0.45201067414804225</v>
          </cell>
          <cell r="L10">
            <v>0.4520106427333081</v>
          </cell>
          <cell r="M10">
            <v>0.45201062359753369</v>
          </cell>
          <cell r="N10">
            <v>0.45201061503429235</v>
          </cell>
          <cell r="O10">
            <v>0.45201061408601589</v>
          </cell>
          <cell r="P10">
            <v>0.45201061686254995</v>
          </cell>
          <cell r="Q10">
            <v>0.4520106194487214</v>
          </cell>
        </row>
        <row r="13">
          <cell r="G13">
            <v>18.971455724631262</v>
          </cell>
          <cell r="H13">
            <v>21.021003515972847</v>
          </cell>
          <cell r="I13">
            <v>23.421546709326705</v>
          </cell>
          <cell r="J13">
            <v>26.258062924428092</v>
          </cell>
          <cell r="K13">
            <v>29.642888449763046</v>
          </cell>
          <cell r="L13">
            <v>33.727017403258657</v>
          </cell>
          <cell r="M13">
            <v>38.717237726899626</v>
          </cell>
          <cell r="N13">
            <v>44.902831069280374</v>
          </cell>
          <cell r="O13">
            <v>52.698461352696171</v>
          </cell>
          <cell r="P13">
            <v>62.715524639686627</v>
          </cell>
          <cell r="Q13">
            <v>75.885785248200023</v>
          </cell>
        </row>
        <row r="14">
          <cell r="G14">
            <v>104786.74969160535</v>
          </cell>
          <cell r="H14">
            <v>104735.69568611095</v>
          </cell>
          <cell r="I14">
            <v>104669.06973389479</v>
          </cell>
          <cell r="J14">
            <v>104580.80925216197</v>
          </cell>
          <cell r="K14">
            <v>104461.91108778602</v>
          </cell>
          <cell r="L14">
            <v>104298.68268580665</v>
          </cell>
          <cell r="M14">
            <v>104069.73174424389</v>
          </cell>
          <cell r="N14">
            <v>103740.59722119931</v>
          </cell>
          <cell r="O14">
            <v>103253.77822192019</v>
          </cell>
          <cell r="P14">
            <v>102509.33114768284</v>
          </cell>
          <cell r="Q14">
            <v>101325</v>
          </cell>
        </row>
      </sheetData>
      <sheetData sheetId="3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0.45802108266294694</v>
          </cell>
          <cell r="H10">
            <v>0.45802205274429714</v>
          </cell>
          <cell r="I10">
            <v>0.45807673534866261</v>
          </cell>
          <cell r="J10">
            <v>0.45816340495744534</v>
          </cell>
          <cell r="K10">
            <v>0.45827075232910464</v>
          </cell>
          <cell r="L10">
            <v>0.45838593888599438</v>
          </cell>
          <cell r="M10">
            <v>0.45849551753028378</v>
          </cell>
          <cell r="N10">
            <v>0.45858704157640262</v>
          </cell>
          <cell r="O10">
            <v>0.4586514358057997</v>
          </cell>
          <cell r="P10">
            <v>0.45868587055653737</v>
          </cell>
          <cell r="Q10">
            <v>0.4586961256338285</v>
          </cell>
        </row>
        <row r="13">
          <cell r="G13">
            <v>17.96571550535436</v>
          </cell>
          <cell r="H13">
            <v>19.913455981592517</v>
          </cell>
          <cell r="I13">
            <v>22.200110360834749</v>
          </cell>
          <cell r="J13">
            <v>24.908247456591255</v>
          </cell>
          <cell r="K13">
            <v>28.148357627262506</v>
          </cell>
          <cell r="L13">
            <v>32.070331583152644</v>
          </cell>
          <cell r="M13">
            <v>36.882261654019779</v>
          </cell>
          <cell r="N13">
            <v>42.881188334412563</v>
          </cell>
          <cell r="O13">
            <v>50.505937196002144</v>
          </cell>
          <cell r="P13">
            <v>60.433938702113757</v>
          </cell>
          <cell r="Q13">
            <v>73.774964942658258</v>
          </cell>
        </row>
        <row r="14">
          <cell r="G14">
            <v>104795.36960394381</v>
          </cell>
          <cell r="H14">
            <v>104746.20422899675</v>
          </cell>
          <cell r="I14">
            <v>104681.88384740002</v>
          </cell>
          <cell r="J14">
            <v>104596.46592138089</v>
          </cell>
          <cell r="K14">
            <v>104481.0687341094</v>
          </cell>
          <cell r="L14">
            <v>104322.10354246786</v>
          </cell>
          <cell r="M14">
            <v>104098.15855164286</v>
          </cell>
          <cell r="N14">
            <v>103774.30665277598</v>
          </cell>
          <cell r="O14">
            <v>103291.15925986697</v>
          </cell>
          <cell r="P14">
            <v>102542.43258943266</v>
          </cell>
          <cell r="Q14">
            <v>101325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  <sheetName val="M=1,5(const)"/>
      <sheetName val="M=1,5(var)"/>
    </sheetNames>
    <definedNames>
      <definedName name="Bodrov"/>
    </defined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  <row r="23">
          <cell r="S23">
            <v>0</v>
          </cell>
          <cell r="T23">
            <v>2.5000000000000001E-2</v>
          </cell>
          <cell r="U23">
            <v>0.05</v>
          </cell>
          <cell r="V23">
            <v>7.4999999999999997E-2</v>
          </cell>
          <cell r="W23">
            <v>0.1</v>
          </cell>
        </row>
        <row r="24">
          <cell r="S24">
            <v>62.6</v>
          </cell>
          <cell r="T24">
            <v>78.260000000000005</v>
          </cell>
          <cell r="U24">
            <v>106.77</v>
          </cell>
          <cell r="V24">
            <v>153.75</v>
          </cell>
          <cell r="W24">
            <v>238.13</v>
          </cell>
        </row>
        <row r="25">
          <cell r="S25">
            <v>132552</v>
          </cell>
          <cell r="T25">
            <v>131334</v>
          </cell>
          <cell r="U25">
            <v>128213</v>
          </cell>
          <cell r="V25">
            <v>120941</v>
          </cell>
          <cell r="W25">
            <v>101336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55"/>
  <sheetViews>
    <sheetView tabSelected="1" topLeftCell="A10" zoomScale="60" zoomScaleNormal="60" workbookViewId="0">
      <selection activeCell="V43" sqref="V43"/>
    </sheetView>
  </sheetViews>
  <sheetFormatPr defaultRowHeight="14.4" x14ac:dyDescent="0.3"/>
  <sheetData>
    <row r="1" spans="1:23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3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3">
      <c r="A10" s="1"/>
      <c r="B10" s="7" t="s">
        <v>11</v>
      </c>
      <c r="C10" s="7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3">
      <c r="A11" s="1"/>
      <c r="B11" s="7" t="s">
        <v>13</v>
      </c>
      <c r="C11" s="7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7">
        <v>0</v>
      </c>
      <c r="R11" s="1"/>
      <c r="S11" s="1"/>
      <c r="T11" s="3"/>
      <c r="U11" s="3"/>
      <c r="V11" s="3"/>
      <c r="W11" s="3"/>
    </row>
    <row r="12" spans="1:23" x14ac:dyDescent="0.3">
      <c r="A12" s="1"/>
      <c r="B12" s="7" t="s">
        <v>8</v>
      </c>
      <c r="C12" s="7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3">
      <c r="A13" s="1"/>
      <c r="B13" s="1"/>
      <c r="C13" s="1"/>
      <c r="D13" s="1"/>
      <c r="E13" s="1"/>
      <c r="F13" s="2" t="s">
        <v>6</v>
      </c>
      <c r="G13" s="7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3">
      <c r="A14" s="1"/>
      <c r="B14" s="20" t="s">
        <v>15</v>
      </c>
      <c r="C14" s="20">
        <v>2000</v>
      </c>
      <c r="D14" s="1">
        <v>43</v>
      </c>
      <c r="E14" s="1"/>
      <c r="F14" s="2" t="s">
        <v>8</v>
      </c>
      <c r="G14" s="7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7">
        <f t="shared" si="6"/>
        <v>101325</v>
      </c>
      <c r="R14" s="1"/>
      <c r="S14" s="1"/>
      <c r="T14" s="3"/>
      <c r="U14" s="3"/>
      <c r="V14" s="3"/>
      <c r="W14" s="3"/>
    </row>
    <row r="15" spans="1:23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8"/>
      <c r="S15" s="1"/>
      <c r="T15" s="3"/>
      <c r="U15" s="3"/>
      <c r="V15" s="3" t="s">
        <v>16</v>
      </c>
      <c r="W15" s="3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3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15</xdr:row>
                    <xdr:rowOff>15240</xdr:rowOff>
                  </from>
                  <to>
                    <xdr:col>2</xdr:col>
                    <xdr:colOff>594360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30"/>
  <sheetViews>
    <sheetView zoomScale="70" zoomScaleNormal="70" workbookViewId="0">
      <selection activeCell="T42" sqref="T42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44.061773325006357</v>
      </c>
      <c r="H5" s="9">
        <v>48.92314001739534</v>
      </c>
      <c r="I5" s="9">
        <v>54.578157622204209</v>
      </c>
      <c r="J5" s="9">
        <v>61.3676049944319</v>
      </c>
      <c r="K5" s="9">
        <v>69.628313490775255</v>
      </c>
      <c r="L5" s="9">
        <v>79.843213821267071</v>
      </c>
      <c r="M5" s="9">
        <v>92.738828977469382</v>
      </c>
      <c r="N5" s="9">
        <v>109.48812343151208</v>
      </c>
      <c r="O5" s="9">
        <v>132.21037500022013</v>
      </c>
      <c r="P5" s="9">
        <v>165.6106818341492</v>
      </c>
      <c r="Q5" s="9">
        <v>423.94681161813469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350867.40735553997</v>
      </c>
      <c r="H6" s="9">
        <v>349857.56343376642</v>
      </c>
      <c r="I6" s="9">
        <v>348550.28172794066</v>
      </c>
      <c r="J6" s="9">
        <v>346791.64149142883</v>
      </c>
      <c r="K6" s="9">
        <v>344375.92068949185</v>
      </c>
      <c r="L6" s="9">
        <v>340975.03234884789</v>
      </c>
      <c r="M6" s="9">
        <v>336041.10751108819</v>
      </c>
      <c r="N6" s="9">
        <v>328598.86826103256</v>
      </c>
      <c r="O6" s="9">
        <v>316733.17818914173</v>
      </c>
      <c r="P6" s="9">
        <v>295951.32816207642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4.2572469963409283</v>
      </c>
      <c r="H7" s="9">
        <v>4.2483227810016162</v>
      </c>
      <c r="I7" s="9">
        <v>4.2367501657323681</v>
      </c>
      <c r="J7" s="9">
        <v>4.2211434646644621</v>
      </c>
      <c r="K7" s="9">
        <v>4.1996416070064333</v>
      </c>
      <c r="L7" s="9">
        <v>4.1692580522743112</v>
      </c>
      <c r="M7" s="9">
        <v>4.124964723733342</v>
      </c>
      <c r="N7" s="9">
        <v>4.0577115891693332</v>
      </c>
      <c r="O7" s="9">
        <v>3.9494508936700159</v>
      </c>
      <c r="P7" s="9">
        <v>3.7568853104570774</v>
      </c>
      <c r="Q7" s="9">
        <v>1.7770717181957589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355000</v>
      </c>
      <c r="F10" s="9" t="s">
        <v>12</v>
      </c>
      <c r="G10" s="10">
        <f t="shared" ref="G10:Q10" si="3">G4*G7*G13</f>
        <v>3.7714546252394219</v>
      </c>
      <c r="H10" s="10">
        <f t="shared" si="3"/>
        <v>3.7713528467869839</v>
      </c>
      <c r="I10" s="10">
        <f t="shared" si="3"/>
        <v>3.7658286654815862</v>
      </c>
      <c r="J10" s="10">
        <f t="shared" si="3"/>
        <v>3.7630111734824023</v>
      </c>
      <c r="K10" s="10">
        <f t="shared" si="3"/>
        <v>3.7627883031927376</v>
      </c>
      <c r="L10" s="10">
        <f t="shared" si="3"/>
        <v>3.7648969258226872</v>
      </c>
      <c r="M10" s="10">
        <f t="shared" si="3"/>
        <v>3.7688820355463615</v>
      </c>
      <c r="N10" s="10">
        <f t="shared" si="3"/>
        <v>3.7740639491554426</v>
      </c>
      <c r="O10" s="10">
        <f t="shared" si="3"/>
        <v>3.7795316548935967</v>
      </c>
      <c r="P10" s="10">
        <f t="shared" si="3"/>
        <v>3.7841929258987133</v>
      </c>
      <c r="Q10" s="10">
        <f t="shared" si="3"/>
        <v>3.7869207620637364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0.2702530020993773</v>
      </c>
      <c r="I11" s="12">
        <f t="shared" ref="I11:P11" si="4">(I13)*(I10-J10)</f>
        <v>0.15377138561156797</v>
      </c>
      <c r="J11" s="12">
        <f t="shared" si="4"/>
        <v>1.3676969374340967E-2</v>
      </c>
      <c r="K11" s="12">
        <f t="shared" si="4"/>
        <v>-0.14682046595177198</v>
      </c>
      <c r="L11" s="12">
        <f t="shared" si="4"/>
        <v>-0.31818684807089431</v>
      </c>
      <c r="M11" s="12">
        <f t="shared" si="4"/>
        <v>-0.48056987946180596</v>
      </c>
      <c r="N11" s="12">
        <f t="shared" si="4"/>
        <v>-0.59865505363936122</v>
      </c>
      <c r="O11" s="12">
        <f t="shared" si="4"/>
        <v>-0.61627318987104018</v>
      </c>
      <c r="P11" s="12">
        <f t="shared" si="4"/>
        <v>-0.45176063950558543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44.060578259961211</v>
      </c>
      <c r="H13" s="14">
        <f t="shared" ref="H13:Q13" si="5">((G6-H6)/H7+G5*H5)^0.5</f>
        <v>48.921819751881337</v>
      </c>
      <c r="I13" s="14">
        <f t="shared" si="5"/>
        <v>54.577399210399946</v>
      </c>
      <c r="J13" s="14">
        <f t="shared" si="5"/>
        <v>61.367396232651991</v>
      </c>
      <c r="K13" s="14">
        <f t="shared" si="5"/>
        <v>69.62861152414051</v>
      </c>
      <c r="L13" s="14">
        <f t="shared" si="5"/>
        <v>79.843936587403633</v>
      </c>
      <c r="M13" s="14">
        <f t="shared" si="5"/>
        <v>92.739847808273154</v>
      </c>
      <c r="N13" s="14">
        <f t="shared" si="5"/>
        <v>109.48925972038053</v>
      </c>
      <c r="O13" s="14">
        <f t="shared" si="5"/>
        <v>132.21140525718582</v>
      </c>
      <c r="P13" s="14">
        <f t="shared" si="5"/>
        <v>165.61135353293929</v>
      </c>
      <c r="Q13" s="14">
        <f t="shared" si="5"/>
        <v>423.94684483506154</v>
      </c>
    </row>
    <row r="14" spans="2:17" x14ac:dyDescent="0.3">
      <c r="B14" s="24" t="s">
        <v>15</v>
      </c>
      <c r="C14" s="24">
        <v>2000</v>
      </c>
      <c r="D14">
        <v>2000</v>
      </c>
      <c r="F14" s="9" t="s">
        <v>8</v>
      </c>
      <c r="G14" s="15">
        <f>C10-(G7*G13^2)/2</f>
        <v>350867.62964500627</v>
      </c>
      <c r="H14" s="16">
        <f>H6+H11</f>
        <v>349857.83368676854</v>
      </c>
      <c r="I14" s="16">
        <f t="shared" ref="I14:Q14" si="6">I6+I11</f>
        <v>348550.43549932627</v>
      </c>
      <c r="J14" s="16">
        <f t="shared" si="6"/>
        <v>346791.65516839823</v>
      </c>
      <c r="K14" s="16">
        <f t="shared" si="6"/>
        <v>344375.77386902587</v>
      </c>
      <c r="L14" s="16">
        <f t="shared" si="6"/>
        <v>340974.71416199981</v>
      </c>
      <c r="M14" s="16">
        <f t="shared" si="6"/>
        <v>336040.62694120873</v>
      </c>
      <c r="N14" s="16">
        <f t="shared" si="6"/>
        <v>328598.26960597892</v>
      </c>
      <c r="O14" s="16">
        <f t="shared" si="6"/>
        <v>316732.56191595184</v>
      </c>
      <c r="P14" s="16">
        <f t="shared" si="6"/>
        <v>295950.87640143692</v>
      </c>
      <c r="Q14" s="15">
        <f t="shared" si="6"/>
        <v>101325</v>
      </c>
    </row>
    <row r="15" spans="2:17" x14ac:dyDescent="0.3">
      <c r="F15" s="9" t="s">
        <v>9</v>
      </c>
      <c r="G15" s="10">
        <f>G14/($C$7*G17)</f>
        <v>4.2572489163555369</v>
      </c>
      <c r="H15" s="10">
        <f t="shared" ref="H15:Q15" si="7">H14/($C$7*H17)</f>
        <v>4.2483251106646245</v>
      </c>
      <c r="I15" s="10">
        <f t="shared" si="7"/>
        <v>4.2367514258254602</v>
      </c>
      <c r="J15" s="10">
        <f t="shared" si="7"/>
        <v>4.2211434430728181</v>
      </c>
      <c r="K15" s="10">
        <f t="shared" si="7"/>
        <v>4.1996401201924733</v>
      </c>
      <c r="L15" s="10">
        <f t="shared" si="7"/>
        <v>4.1692550022111172</v>
      </c>
      <c r="M15" s="10">
        <f t="shared" si="7"/>
        <v>4.1249601915827077</v>
      </c>
      <c r="N15" s="10">
        <f t="shared" si="7"/>
        <v>4.0577059777546882</v>
      </c>
      <c r="O15" s="10">
        <f t="shared" si="7"/>
        <v>3.9494451257262524</v>
      </c>
      <c r="P15" s="10">
        <f t="shared" si="7"/>
        <v>3.7568810914511093</v>
      </c>
      <c r="Q15" s="10">
        <f t="shared" si="7"/>
        <v>1.7770718435956014</v>
      </c>
    </row>
    <row r="17" spans="6:20" x14ac:dyDescent="0.3">
      <c r="F17" s="9" t="s">
        <v>17</v>
      </c>
      <c r="G17" s="14">
        <f>$C$11-(G13^2)/(2*$C$8)</f>
        <v>287.19358494792806</v>
      </c>
      <c r="H17" s="14">
        <f t="shared" ref="H17:Q17" si="8">$C$11-(H13^2)/(2*$C$8)</f>
        <v>286.96857006778401</v>
      </c>
      <c r="I17" s="14">
        <f t="shared" si="8"/>
        <v>286.67717816379366</v>
      </c>
      <c r="J17" s="14">
        <f t="shared" si="8"/>
        <v>286.2852701511473</v>
      </c>
      <c r="K17" s="14">
        <f t="shared" si="8"/>
        <v>285.74654741996238</v>
      </c>
      <c r="L17" s="14">
        <f t="shared" si="8"/>
        <v>284.98643657418694</v>
      </c>
      <c r="M17" s="14">
        <f t="shared" si="8"/>
        <v>283.87849891900555</v>
      </c>
      <c r="N17" s="14">
        <f t="shared" si="8"/>
        <v>282.19230884402782</v>
      </c>
      <c r="O17" s="14">
        <f t="shared" si="8"/>
        <v>279.45835937869384</v>
      </c>
      <c r="P17" s="14">
        <f t="shared" si="8"/>
        <v>274.50651512394853</v>
      </c>
      <c r="Q17" s="14">
        <f t="shared" si="8"/>
        <v>198.68821224332748</v>
      </c>
    </row>
    <row r="18" spans="6:20" x14ac:dyDescent="0.3">
      <c r="F18" s="9" t="s">
        <v>18</v>
      </c>
      <c r="G18" s="17">
        <f>SQRT($C$6*$C$7*G17)</f>
        <v>339.68091563045976</v>
      </c>
      <c r="H18" s="17">
        <f t="shared" ref="H18:Q18" si="9">SQRT($C$6*$C$7*H17)</f>
        <v>339.54782032180526</v>
      </c>
      <c r="I18" s="17">
        <f t="shared" si="9"/>
        <v>339.37538573212447</v>
      </c>
      <c r="J18" s="17">
        <f t="shared" si="9"/>
        <v>339.14333129834802</v>
      </c>
      <c r="K18" s="17">
        <f t="shared" si="9"/>
        <v>338.82408634670884</v>
      </c>
      <c r="L18" s="17">
        <f t="shared" si="9"/>
        <v>338.37313538044742</v>
      </c>
      <c r="M18" s="17">
        <f t="shared" si="9"/>
        <v>337.71475068243433</v>
      </c>
      <c r="N18" s="17">
        <f t="shared" si="9"/>
        <v>336.71027271977266</v>
      </c>
      <c r="O18" s="17">
        <f t="shared" si="9"/>
        <v>335.0752363733726</v>
      </c>
      <c r="P18" s="17">
        <f t="shared" si="9"/>
        <v>332.09329580918921</v>
      </c>
      <c r="Q18" s="17">
        <f t="shared" si="9"/>
        <v>282.53342298115638</v>
      </c>
    </row>
    <row r="19" spans="6:20" x14ac:dyDescent="0.3">
      <c r="F19" s="9" t="s">
        <v>19</v>
      </c>
      <c r="G19" s="12">
        <f>G13/G18</f>
        <v>0.12971166831137165</v>
      </c>
      <c r="H19" s="12">
        <f t="shared" ref="H19:Q19" si="10">H13/H18</f>
        <v>0.14407932203928112</v>
      </c>
      <c r="I19" s="12">
        <f t="shared" si="10"/>
        <v>0.16081719978796263</v>
      </c>
      <c r="J19" s="12">
        <f t="shared" si="10"/>
        <v>0.18094826160289862</v>
      </c>
      <c r="K19" s="12">
        <f t="shared" si="10"/>
        <v>0.20550077261299415</v>
      </c>
      <c r="L19" s="12">
        <f t="shared" si="10"/>
        <v>0.23596417161673214</v>
      </c>
      <c r="M19" s="12">
        <f t="shared" si="10"/>
        <v>0.27461000036530792</v>
      </c>
      <c r="N19" s="12">
        <f t="shared" si="10"/>
        <v>0.32517350550662599</v>
      </c>
      <c r="O19" s="12">
        <f t="shared" si="10"/>
        <v>0.39457229572722985</v>
      </c>
      <c r="P19" s="12">
        <f t="shared" si="10"/>
        <v>0.4986892407129308</v>
      </c>
      <c r="Q19" s="12">
        <f t="shared" si="10"/>
        <v>1.5005192672844825</v>
      </c>
    </row>
    <row r="20" spans="6:20" x14ac:dyDescent="0.3">
      <c r="F20" s="9" t="s">
        <v>20</v>
      </c>
      <c r="G20" s="9">
        <f>1-((($C$6-1)/($C$6+1))*G21^2)</f>
        <v>0.99674452414442138</v>
      </c>
      <c r="H20" s="9">
        <f t="shared" ref="H20:Q20" si="11">1-((($C$6-1)/($C$6+1))*H21^2)</f>
        <v>0.9960137305399861</v>
      </c>
      <c r="I20" s="9">
        <f t="shared" si="11"/>
        <v>0.99508194862891708</v>
      </c>
      <c r="J20" s="9">
        <f t="shared" si="11"/>
        <v>0.99385401252850569</v>
      </c>
      <c r="K20" s="9">
        <f t="shared" si="11"/>
        <v>0.99221169552727795</v>
      </c>
      <c r="L20" s="9">
        <f t="shared" si="11"/>
        <v>0.98997999182261187</v>
      </c>
      <c r="M20" s="9">
        <f t="shared" si="11"/>
        <v>0.98689446363234257</v>
      </c>
      <c r="N20" s="9">
        <f t="shared" si="11"/>
        <v>0.98254396420898971</v>
      </c>
      <c r="O20" s="9">
        <f t="shared" si="11"/>
        <v>0.97625586199803871</v>
      </c>
      <c r="P20" s="9">
        <f t="shared" si="11"/>
        <v>0.96678322933129879</v>
      </c>
      <c r="Q20" s="9">
        <f t="shared" si="11"/>
        <v>0.91817152271581493</v>
      </c>
    </row>
    <row r="21" spans="6:20" x14ac:dyDescent="0.3">
      <c r="F21" s="9" t="s">
        <v>21</v>
      </c>
      <c r="G21" s="9">
        <f>SQRT(((($C$6+1)/2)*G19^2)/(1+2*G19^2))</f>
        <v>0.13975999117584367</v>
      </c>
      <c r="H21" s="9">
        <f>SQRT(((($C$6+1)/2)*H19^2)/(1+2*H19^2))</f>
        <v>0.15465321451584327</v>
      </c>
      <c r="I21" s="9">
        <f t="shared" ref="I21:Q21" si="12">SQRT(((($C$6+1)/2)*I19^2)/(1+2*I19^2))</f>
        <v>0.17177982485291377</v>
      </c>
      <c r="J21" s="9">
        <f t="shared" si="12"/>
        <v>0.19203105173113452</v>
      </c>
      <c r="K21" s="9">
        <f t="shared" si="12"/>
        <v>0.21617082790314809</v>
      </c>
      <c r="L21" s="9">
        <f t="shared" si="12"/>
        <v>0.24519390095255025</v>
      </c>
      <c r="M21" s="9">
        <f t="shared" si="12"/>
        <v>0.28041615182785834</v>
      </c>
      <c r="N21" s="9">
        <f t="shared" si="12"/>
        <v>0.32362974947625239</v>
      </c>
      <c r="O21" s="9">
        <f t="shared" si="12"/>
        <v>0.37744513245207906</v>
      </c>
      <c r="P21" s="9">
        <f t="shared" si="12"/>
        <v>0.44643098460143565</v>
      </c>
      <c r="Q21" s="9">
        <f t="shared" si="12"/>
        <v>0.70069313091046537</v>
      </c>
    </row>
    <row r="22" spans="6:20" x14ac:dyDescent="0.3">
      <c r="F22" s="9" t="s">
        <v>22</v>
      </c>
      <c r="G22" s="9">
        <f>(1-((($C$6-1)/($C$6+1))*G21^2))^($C$6/($C$6-1))</f>
        <v>0.98865212585154483</v>
      </c>
      <c r="H22" s="9">
        <f t="shared" ref="H22:Q22" si="13">(1-((($C$6-1)/($C$6+1))*H21^2))^($C$6/($C$6-1))</f>
        <v>0.98611743865169554</v>
      </c>
      <c r="I22" s="9">
        <f t="shared" si="13"/>
        <v>0.98289237927743911</v>
      </c>
      <c r="J22" s="9">
        <f t="shared" si="13"/>
        <v>0.97865379398838326</v>
      </c>
      <c r="K22" s="9">
        <f t="shared" si="13"/>
        <v>0.97300527931111802</v>
      </c>
      <c r="L22" s="9">
        <f t="shared" si="13"/>
        <v>0.96536702594853241</v>
      </c>
      <c r="M22" s="9">
        <f t="shared" si="13"/>
        <v>0.95487713534369834</v>
      </c>
      <c r="N22" s="9">
        <f t="shared" si="13"/>
        <v>0.94022538485456131</v>
      </c>
      <c r="O22" s="9">
        <f t="shared" si="13"/>
        <v>0.91933287638910044</v>
      </c>
      <c r="P22" s="9">
        <f t="shared" si="13"/>
        <v>0.88848863821322899</v>
      </c>
      <c r="Q22" s="9">
        <f t="shared" si="13"/>
        <v>0.74170868802605194</v>
      </c>
    </row>
    <row r="23" spans="6:20" x14ac:dyDescent="0.3">
      <c r="F23" s="9" t="s">
        <v>11</v>
      </c>
      <c r="G23" s="9">
        <f>G14/G22</f>
        <v>354894.93267694872</v>
      </c>
      <c r="H23" s="9">
        <f t="shared" ref="H23:Q23" si="14">H14/H22</f>
        <v>354783.13228607358</v>
      </c>
      <c r="I23" s="9">
        <f t="shared" si="14"/>
        <v>354617.09017986152</v>
      </c>
      <c r="J23" s="9">
        <f t="shared" si="14"/>
        <v>354355.80723096314</v>
      </c>
      <c r="K23" s="9">
        <f t="shared" si="14"/>
        <v>353930.01578865212</v>
      </c>
      <c r="L23" s="9">
        <f t="shared" si="14"/>
        <v>353207.33461656328</v>
      </c>
      <c r="M23" s="9">
        <f t="shared" si="14"/>
        <v>351920.27801592957</v>
      </c>
      <c r="N23" s="9">
        <f t="shared" si="14"/>
        <v>349488.82991157286</v>
      </c>
      <c r="O23" s="9">
        <f t="shared" si="14"/>
        <v>344524.35026580869</v>
      </c>
      <c r="P23" s="9">
        <f t="shared" si="14"/>
        <v>333094.72251282912</v>
      </c>
      <c r="Q23" s="9">
        <f t="shared" si="14"/>
        <v>136610.23746352698</v>
      </c>
    </row>
    <row r="26" spans="6:20" x14ac:dyDescent="0.3">
      <c r="S26" s="19"/>
      <c r="T26" s="19"/>
    </row>
    <row r="27" spans="6:20" x14ac:dyDescent="0.3">
      <c r="S27" s="19"/>
      <c r="T27" s="19"/>
    </row>
    <row r="30" spans="6:20" x14ac:dyDescent="0.3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">
                <anchor moveWithCells="1" sizeWithCells="1">
                  <from>
                    <xdr:col>1</xdr:col>
                    <xdr:colOff>7620</xdr:colOff>
                    <xdr:row>15</xdr:row>
                    <xdr:rowOff>30480</xdr:rowOff>
                  </from>
                  <to>
                    <xdr:col>3</xdr:col>
                    <xdr:colOff>601980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55"/>
  <sheetViews>
    <sheetView zoomScale="70" zoomScaleNormal="70" workbookViewId="0">
      <selection activeCell="V28" sqref="V28"/>
    </sheetView>
  </sheetViews>
  <sheetFormatPr defaultRowHeight="14.4" x14ac:dyDescent="0.3"/>
  <sheetData>
    <row r="1" spans="1:17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1:17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</row>
    <row r="5" spans="1:17" x14ac:dyDescent="0.3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3">
      <c r="A6" s="1"/>
      <c r="B6" s="7" t="s">
        <v>7</v>
      </c>
      <c r="C6" s="7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3">
      <c r="A7" s="1"/>
      <c r="B7" s="7" t="s">
        <v>3</v>
      </c>
      <c r="C7" s="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3">
      <c r="A8" s="1"/>
      <c r="B8" s="7" t="s">
        <v>10</v>
      </c>
      <c r="C8" s="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3">
      <c r="A10" s="1"/>
      <c r="B10" s="21" t="s">
        <v>11</v>
      </c>
      <c r="C10" s="21">
        <v>135000</v>
      </c>
      <c r="D10" s="1"/>
      <c r="E10" s="1"/>
      <c r="F10" s="2" t="s">
        <v>12</v>
      </c>
      <c r="G10" s="5">
        <f>G4*G7*G13</f>
        <v>1.3663165238514254</v>
      </c>
      <c r="H10" s="5">
        <f t="shared" ref="H10:Q10" si="3">H4*H7*H13</f>
        <v>1.3663197670643263</v>
      </c>
      <c r="I10" s="5">
        <f t="shared" si="3"/>
        <v>1.3665020425140293</v>
      </c>
      <c r="J10" s="5">
        <f t="shared" si="3"/>
        <v>1.3667666214711018</v>
      </c>
      <c r="K10" s="5">
        <f t="shared" si="3"/>
        <v>1.3670804272061059</v>
      </c>
      <c r="L10" s="5">
        <f t="shared" si="3"/>
        <v>1.3674069190133782</v>
      </c>
      <c r="M10" s="5">
        <f t="shared" si="3"/>
        <v>1.3677090959522973</v>
      </c>
      <c r="N10" s="6">
        <f t="shared" si="3"/>
        <v>1.3679543599839599</v>
      </c>
      <c r="O10" s="5">
        <f t="shared" si="3"/>
        <v>1.3681211846855306</v>
      </c>
      <c r="P10" s="5">
        <f t="shared" si="3"/>
        <v>1.3682064201253556</v>
      </c>
      <c r="Q10" s="5">
        <f t="shared" si="3"/>
        <v>1.3682298874393872</v>
      </c>
    </row>
    <row r="11" spans="1:17" x14ac:dyDescent="0.3">
      <c r="A11" s="1"/>
      <c r="B11" s="21" t="s">
        <v>13</v>
      </c>
      <c r="C11" s="21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7">
        <v>0</v>
      </c>
    </row>
    <row r="12" spans="1:17" x14ac:dyDescent="0.3">
      <c r="A12" s="1"/>
      <c r="B12" s="21" t="s">
        <v>8</v>
      </c>
      <c r="C12" s="21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s="1"/>
      <c r="B13" s="1"/>
      <c r="C13" s="1"/>
      <c r="D13" s="1"/>
      <c r="E13" s="1"/>
      <c r="F13" s="2" t="s">
        <v>6</v>
      </c>
      <c r="G13" s="7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3">
      <c r="A14" s="1"/>
      <c r="B14" s="25" t="s">
        <v>15</v>
      </c>
      <c r="C14" s="25">
        <v>2000</v>
      </c>
      <c r="D14" s="1">
        <v>2000</v>
      </c>
      <c r="E14" s="1"/>
      <c r="F14" s="2" t="s">
        <v>8</v>
      </c>
      <c r="G14" s="7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7">
        <f t="shared" si="6"/>
        <v>101325</v>
      </c>
    </row>
    <row r="15" spans="1:17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3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14</xdr:row>
                    <xdr:rowOff>175260</xdr:rowOff>
                  </from>
                  <to>
                    <xdr:col>4</xdr:col>
                    <xdr:colOff>15240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30"/>
  <sheetViews>
    <sheetView topLeftCell="A4" zoomScale="50" zoomScaleNormal="50" workbookViewId="0">
      <selection activeCell="S43" sqref="S43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42.000601074920588</v>
      </c>
      <c r="H5" s="9">
        <v>46.626761446180375</v>
      </c>
      <c r="I5" s="9">
        <v>52.082065218442388</v>
      </c>
      <c r="J5" s="9">
        <v>58.586963340577647</v>
      </c>
      <c r="K5" s="9">
        <v>66.446388530669395</v>
      </c>
      <c r="L5" s="9">
        <v>76.096687409842389</v>
      </c>
      <c r="M5" s="9">
        <v>88.191114129928906</v>
      </c>
      <c r="N5" s="9">
        <v>103.77219350930196</v>
      </c>
      <c r="O5" s="9">
        <v>124.67536642759829</v>
      </c>
      <c r="P5" s="9">
        <v>154.73849371398734</v>
      </c>
      <c r="Q5" s="9">
        <v>205.8782124382524</v>
      </c>
    </row>
    <row r="6" spans="2:17" x14ac:dyDescent="0.3">
      <c r="B6" s="13" t="s">
        <v>7</v>
      </c>
      <c r="C6" s="13">
        <v>1.4</v>
      </c>
      <c r="F6" s="9" t="s">
        <v>8</v>
      </c>
      <c r="G6" s="9">
        <v>133570.95680426728</v>
      </c>
      <c r="H6" s="9">
        <v>133222.1433192009</v>
      </c>
      <c r="I6" s="9">
        <v>132763.8393956658</v>
      </c>
      <c r="J6" s="9">
        <v>132151.1756941507</v>
      </c>
      <c r="K6" s="9">
        <v>131315.51465663401</v>
      </c>
      <c r="L6" s="9">
        <v>130148.06698347302</v>
      </c>
      <c r="M6" s="9">
        <v>128468.45776070279</v>
      </c>
      <c r="N6" s="9">
        <v>125958.94302371657</v>
      </c>
      <c r="O6" s="9">
        <v>122007.74724965771</v>
      </c>
      <c r="P6" s="9">
        <v>115244.93139258264</v>
      </c>
      <c r="Q6" s="9">
        <v>101325</v>
      </c>
    </row>
    <row r="7" spans="2:17" x14ac:dyDescent="0.3">
      <c r="B7" s="13" t="s">
        <v>3</v>
      </c>
      <c r="C7" s="13">
        <v>286.97199999999998</v>
      </c>
      <c r="F7" s="9" t="s">
        <v>9</v>
      </c>
      <c r="G7" s="9">
        <v>1.6201840065563027</v>
      </c>
      <c r="H7" s="9">
        <v>1.6171018785631039</v>
      </c>
      <c r="I7" s="9">
        <v>1.6130450172502637</v>
      </c>
      <c r="J7" s="9">
        <v>1.6076100257191284</v>
      </c>
      <c r="K7" s="9">
        <v>1.6001769991525365</v>
      </c>
      <c r="L7" s="9">
        <v>1.5897576930697142</v>
      </c>
      <c r="M7" s="9">
        <v>1.5747011799659605</v>
      </c>
      <c r="N7" s="9">
        <v>1.5520697153883405</v>
      </c>
      <c r="O7" s="9">
        <v>1.516127369659569</v>
      </c>
      <c r="P7" s="9">
        <v>1.4537677948981527</v>
      </c>
      <c r="Q7" s="9">
        <v>1.3221123787017934</v>
      </c>
    </row>
    <row r="8" spans="2:17" x14ac:dyDescent="0.3">
      <c r="B8" s="13" t="s">
        <v>10</v>
      </c>
      <c r="C8" s="13">
        <v>1004.4</v>
      </c>
    </row>
    <row r="10" spans="2:17" x14ac:dyDescent="0.3">
      <c r="B10" s="22" t="s">
        <v>11</v>
      </c>
      <c r="C10" s="22">
        <v>135000</v>
      </c>
      <c r="F10" s="9" t="s">
        <v>12</v>
      </c>
      <c r="G10" s="10">
        <f t="shared" ref="G10:Q10" si="3">G4*G7*G13</f>
        <v>1.3682003292675637</v>
      </c>
      <c r="H10" s="10">
        <f t="shared" si="3"/>
        <v>1.3682003212908143</v>
      </c>
      <c r="I10" s="10">
        <f t="shared" si="3"/>
        <v>1.3681998800635657</v>
      </c>
      <c r="J10" s="10">
        <f t="shared" si="3"/>
        <v>1.3681993824704664</v>
      </c>
      <c r="K10" s="10">
        <f t="shared" si="3"/>
        <v>1.3681988575771811</v>
      </c>
      <c r="L10" s="10">
        <f t="shared" si="3"/>
        <v>1.3681983387589283</v>
      </c>
      <c r="M10" s="10">
        <f t="shared" si="3"/>
        <v>1.3681978620777049</v>
      </c>
      <c r="N10" s="10">
        <f t="shared" si="3"/>
        <v>1.3681974630379561</v>
      </c>
      <c r="O10" s="10">
        <f t="shared" si="3"/>
        <v>1.3681971710606182</v>
      </c>
      <c r="P10" s="10">
        <f t="shared" si="3"/>
        <v>1.3681970011131772</v>
      </c>
      <c r="Q10" s="10">
        <f t="shared" si="3"/>
        <v>1.3681969423888067</v>
      </c>
    </row>
    <row r="11" spans="2:17" x14ac:dyDescent="0.3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2.0572997540142868E-5</v>
      </c>
      <c r="I11" s="12">
        <f t="shared" ref="I11:P11" si="4">(I13)*(I10-J10)</f>
        <v>2.5915676103055579E-5</v>
      </c>
      <c r="J11" s="12">
        <f t="shared" si="4"/>
        <v>3.075190349319598E-5</v>
      </c>
      <c r="K11" s="12">
        <f t="shared" si="4"/>
        <v>3.4473599035432498E-5</v>
      </c>
      <c r="L11" s="12">
        <f t="shared" si="4"/>
        <v>3.6273861905813143E-5</v>
      </c>
      <c r="M11" s="12">
        <f t="shared" si="4"/>
        <v>3.519175992407785E-5</v>
      </c>
      <c r="N11" s="12">
        <f t="shared" si="4"/>
        <v>3.0299128745147751E-5</v>
      </c>
      <c r="O11" s="12">
        <f t="shared" si="4"/>
        <v>2.1188259457878824E-5</v>
      </c>
      <c r="P11" s="12">
        <f t="shared" si="4"/>
        <v>9.0869206277988695E-6</v>
      </c>
      <c r="Q11" s="13">
        <v>0</v>
      </c>
    </row>
    <row r="12" spans="2:17" x14ac:dyDescent="0.3">
      <c r="B12" s="22" t="s">
        <v>8</v>
      </c>
      <c r="C12" s="22">
        <v>101325</v>
      </c>
    </row>
    <row r="13" spans="2:17" x14ac:dyDescent="0.3">
      <c r="F13" s="9" t="s">
        <v>6</v>
      </c>
      <c r="G13" s="13">
        <f>(H4*H5*H7)/(G4*G7)</f>
        <v>42.000600831007439</v>
      </c>
      <c r="H13" s="14">
        <f t="shared" ref="H13:Q13" si="5">((G6-H6)/H7+G5*H5)^0.5</f>
        <v>46.626761174341532</v>
      </c>
      <c r="I13" s="14">
        <f t="shared" si="5"/>
        <v>52.08206491361527</v>
      </c>
      <c r="J13" s="14">
        <f t="shared" si="5"/>
        <v>58.586963018098594</v>
      </c>
      <c r="K13" s="14">
        <f t="shared" si="5"/>
        <v>66.446388208458643</v>
      </c>
      <c r="L13" s="14">
        <f t="shared" si="5"/>
        <v>76.096687107612652</v>
      </c>
      <c r="M13" s="14">
        <f t="shared" si="5"/>
        <v>88.191113867579375</v>
      </c>
      <c r="N13" s="14">
        <f t="shared" si="5"/>
        <v>103.77219330417552</v>
      </c>
      <c r="O13" s="14">
        <f t="shared" si="5"/>
        <v>124.67536629031191</v>
      </c>
      <c r="P13" s="14">
        <f t="shared" si="5"/>
        <v>154.73849364263037</v>
      </c>
      <c r="Q13" s="14">
        <f t="shared" si="5"/>
        <v>205.87821240866614</v>
      </c>
    </row>
    <row r="14" spans="2:17" x14ac:dyDescent="0.3">
      <c r="B14" s="23" t="s">
        <v>15</v>
      </c>
      <c r="C14" s="23">
        <v>2000</v>
      </c>
      <c r="D14">
        <v>2000</v>
      </c>
      <c r="F14" s="9" t="s">
        <v>8</v>
      </c>
      <c r="G14" s="15">
        <f>C10-(G7*G13^2)/2</f>
        <v>133570.95682073975</v>
      </c>
      <c r="H14" s="16">
        <f>H6+H11</f>
        <v>133222.1433397739</v>
      </c>
      <c r="I14" s="16">
        <f t="shared" ref="I14:Q14" si="6">I6+I11</f>
        <v>132763.83942158148</v>
      </c>
      <c r="J14" s="16">
        <f t="shared" si="6"/>
        <v>132151.1757249026</v>
      </c>
      <c r="K14" s="16">
        <f t="shared" si="6"/>
        <v>131315.51469110762</v>
      </c>
      <c r="L14" s="16">
        <f t="shared" si="6"/>
        <v>130148.06701974689</v>
      </c>
      <c r="M14" s="16">
        <f t="shared" si="6"/>
        <v>128468.45779589454</v>
      </c>
      <c r="N14" s="16">
        <f t="shared" si="6"/>
        <v>125958.94305401569</v>
      </c>
      <c r="O14" s="16">
        <f t="shared" si="6"/>
        <v>122007.74727084597</v>
      </c>
      <c r="P14" s="16">
        <f t="shared" si="6"/>
        <v>115244.93140166956</v>
      </c>
      <c r="Q14" s="15">
        <f t="shared" si="6"/>
        <v>101325</v>
      </c>
    </row>
    <row r="15" spans="2:17" x14ac:dyDescent="0.3">
      <c r="F15" s="9" t="s">
        <v>9</v>
      </c>
      <c r="G15" s="10">
        <f>G14/($C$7*G17)</f>
        <v>1.6201840066985871</v>
      </c>
      <c r="H15" s="10">
        <f t="shared" ref="H15:Q15" si="7">H14/($C$7*H17)</f>
        <v>1.6171018787417422</v>
      </c>
      <c r="I15" s="10">
        <f t="shared" si="7"/>
        <v>1.6130450174762354</v>
      </c>
      <c r="J15" s="10">
        <f t="shared" si="7"/>
        <v>1.6076100259876565</v>
      </c>
      <c r="K15" s="10">
        <f t="shared" si="7"/>
        <v>1.6001769994533437</v>
      </c>
      <c r="L15" s="10">
        <f t="shared" si="7"/>
        <v>1.5897576933851962</v>
      </c>
      <c r="M15" s="10">
        <f t="shared" si="7"/>
        <v>1.5747011802697271</v>
      </c>
      <c r="N15" s="10">
        <f t="shared" si="7"/>
        <v>1.552069715645374</v>
      </c>
      <c r="O15" s="10">
        <f t="shared" si="7"/>
        <v>1.5161273698307294</v>
      </c>
      <c r="P15" s="10">
        <f t="shared" si="7"/>
        <v>1.4537677949549261</v>
      </c>
      <c r="Q15" s="10">
        <f t="shared" si="7"/>
        <v>1.3221123786717703</v>
      </c>
    </row>
    <row r="17" spans="6:17" x14ac:dyDescent="0.3">
      <c r="F17" s="9" t="s">
        <v>17</v>
      </c>
      <c r="G17" s="14">
        <f>$C$11-(G13^2)/(2*$C$8)</f>
        <v>287.28183867474831</v>
      </c>
      <c r="H17" s="14">
        <f t="shared" ref="H17:Q17" si="8">$C$11-(H13^2)/(2*$C$8)</f>
        <v>287.07773453922289</v>
      </c>
      <c r="I17" s="14">
        <f t="shared" si="8"/>
        <v>286.80967070606033</v>
      </c>
      <c r="J17" s="14">
        <f t="shared" si="8"/>
        <v>286.4513021526862</v>
      </c>
      <c r="K17" s="14">
        <f t="shared" si="8"/>
        <v>285.96210946537775</v>
      </c>
      <c r="L17" s="14">
        <f t="shared" si="8"/>
        <v>285.27733084988358</v>
      </c>
      <c r="M17" s="14">
        <f t="shared" si="8"/>
        <v>284.28819963898633</v>
      </c>
      <c r="N17" s="14">
        <f t="shared" si="8"/>
        <v>282.79925323419002</v>
      </c>
      <c r="O17" s="14">
        <f t="shared" si="8"/>
        <v>280.42207339724047</v>
      </c>
      <c r="P17" s="14">
        <f t="shared" si="8"/>
        <v>276.24044533313901</v>
      </c>
      <c r="Q17" s="14">
        <f t="shared" si="8"/>
        <v>267.05992117453815</v>
      </c>
    </row>
    <row r="18" spans="6:17" x14ac:dyDescent="0.3">
      <c r="F18" s="9" t="s">
        <v>18</v>
      </c>
      <c r="G18" s="17">
        <f>SQRT($C$6*$C$7*G17)</f>
        <v>339.73310308452108</v>
      </c>
      <c r="H18" s="17">
        <f t="shared" ref="H18:Q18" si="9">SQRT($C$6*$C$7*H17)</f>
        <v>339.61239713924726</v>
      </c>
      <c r="I18" s="17">
        <f t="shared" si="9"/>
        <v>339.45380061298971</v>
      </c>
      <c r="J18" s="17">
        <f t="shared" si="9"/>
        <v>339.24166064017686</v>
      </c>
      <c r="K18" s="17">
        <f t="shared" si="9"/>
        <v>338.95186364511659</v>
      </c>
      <c r="L18" s="17">
        <f t="shared" si="9"/>
        <v>338.54578518143433</v>
      </c>
      <c r="M18" s="17">
        <f t="shared" si="9"/>
        <v>337.95836210621991</v>
      </c>
      <c r="N18" s="17">
        <f t="shared" si="9"/>
        <v>337.07217953840501</v>
      </c>
      <c r="O18" s="17">
        <f t="shared" si="9"/>
        <v>335.6524937278644</v>
      </c>
      <c r="P18" s="17">
        <f t="shared" si="9"/>
        <v>333.14048434466531</v>
      </c>
      <c r="Q18" s="17">
        <f t="shared" si="9"/>
        <v>327.55794537611109</v>
      </c>
    </row>
    <row r="19" spans="6:17" x14ac:dyDescent="0.3">
      <c r="F19" s="9" t="s">
        <v>19</v>
      </c>
      <c r="G19" s="12">
        <f>G13/G18</f>
        <v>0.12362822595052872</v>
      </c>
      <c r="H19" s="12">
        <f t="shared" ref="H19:Q19" si="10">H13/H18</f>
        <v>0.13729404923702979</v>
      </c>
      <c r="I19" s="12">
        <f t="shared" si="10"/>
        <v>0.15342902279946449</v>
      </c>
      <c r="J19" s="12">
        <f t="shared" si="10"/>
        <v>0.17269978842675215</v>
      </c>
      <c r="K19" s="12">
        <f t="shared" si="10"/>
        <v>0.19603488086446449</v>
      </c>
      <c r="L19" s="12">
        <f t="shared" si="10"/>
        <v>0.22477517204011482</v>
      </c>
      <c r="M19" s="12">
        <f t="shared" si="10"/>
        <v>0.26095260172867396</v>
      </c>
      <c r="N19" s="12">
        <f t="shared" si="10"/>
        <v>0.3078634179963583</v>
      </c>
      <c r="O19" s="12">
        <f t="shared" si="10"/>
        <v>0.3714417995398373</v>
      </c>
      <c r="P19" s="12">
        <f t="shared" si="10"/>
        <v>0.46448420685652475</v>
      </c>
      <c r="Q19" s="12">
        <f t="shared" si="10"/>
        <v>0.62852455669262153</v>
      </c>
    </row>
    <row r="20" spans="6:17" x14ac:dyDescent="0.3">
      <c r="F20" s="9" t="s">
        <v>20</v>
      </c>
      <c r="G20" s="9">
        <f>1-((($C$6-1)/($C$6+1))*G21^2)</f>
        <v>0.99703388032944862</v>
      </c>
      <c r="H20" s="9">
        <f t="shared" ref="H20:Q20" si="11">1-((($C$6-1)/($C$6+1))*H21^2)</f>
        <v>0.9963670293042457</v>
      </c>
      <c r="I20" s="9">
        <f t="shared" si="11"/>
        <v>0.99550360161071294</v>
      </c>
      <c r="J20" s="9">
        <f t="shared" si="11"/>
        <v>0.9943707441680717</v>
      </c>
      <c r="K20" s="9">
        <f t="shared" si="11"/>
        <v>0.99286263808730046</v>
      </c>
      <c r="L20" s="9">
        <f t="shared" si="11"/>
        <v>0.99082258191009576</v>
      </c>
      <c r="M20" s="9">
        <f t="shared" si="11"/>
        <v>0.98801325319284194</v>
      </c>
      <c r="N20" s="9">
        <f t="shared" si="11"/>
        <v>0.98406471256549299</v>
      </c>
      <c r="O20" s="9">
        <f t="shared" si="11"/>
        <v>0.97837371280008245</v>
      </c>
      <c r="P20" s="9">
        <f t="shared" si="11"/>
        <v>0.96985722511962258</v>
      </c>
      <c r="Q20" s="9">
        <f t="shared" si="11"/>
        <v>0.95586323046793509</v>
      </c>
    </row>
    <row r="21" spans="6:17" x14ac:dyDescent="0.3">
      <c r="F21" s="9" t="s">
        <v>21</v>
      </c>
      <c r="G21" s="9">
        <f>SQRT(((($C$6+1)/2)*G19^2)/(1+2*G19^2))</f>
        <v>0.13340434034658896</v>
      </c>
      <c r="H21" s="9">
        <f>SQRT(((($C$6+1)/2)*H19^2)/(1+2*H19^2))</f>
        <v>0.1476408621436692</v>
      </c>
      <c r="I21" s="9">
        <f t="shared" ref="I21:Q21" si="12">SQRT(((($C$6+1)/2)*I19^2)/(1+2*I19^2))</f>
        <v>0.16425099797481407</v>
      </c>
      <c r="J21" s="9">
        <f t="shared" si="12"/>
        <v>0.18378121501277009</v>
      </c>
      <c r="K21" s="9">
        <f t="shared" si="12"/>
        <v>0.20694001903014664</v>
      </c>
      <c r="L21" s="9">
        <f t="shared" si="12"/>
        <v>0.2346582803555535</v>
      </c>
      <c r="M21" s="9">
        <f t="shared" si="12"/>
        <v>0.26817994116441396</v>
      </c>
      <c r="N21" s="9">
        <f t="shared" si="12"/>
        <v>0.30921145613809642</v>
      </c>
      <c r="O21" s="9">
        <f t="shared" si="12"/>
        <v>0.36021899339083352</v>
      </c>
      <c r="P21" s="9">
        <f t="shared" si="12"/>
        <v>0.42527244124474417</v>
      </c>
      <c r="Q21" s="9">
        <f t="shared" si="12"/>
        <v>0.51460724556926829</v>
      </c>
    </row>
    <row r="22" spans="6:17" x14ac:dyDescent="0.3">
      <c r="F22" s="9" t="s">
        <v>22</v>
      </c>
      <c r="G22" s="9">
        <f>(1-((($C$6-1)/($C$6+1))*G21^2))^($C$6/($C$6-1))</f>
        <v>0.98965701475359702</v>
      </c>
      <c r="H22" s="9">
        <f t="shared" ref="H22:Q22" si="13">(1-((($C$6-1)/($C$6+1))*H21^2))^($C$6/($C$6-1))</f>
        <v>0.98734224105542545</v>
      </c>
      <c r="I22" s="9">
        <f t="shared" si="13"/>
        <v>0.98435085888494234</v>
      </c>
      <c r="J22" s="9">
        <f t="shared" si="13"/>
        <v>0.98043585193096505</v>
      </c>
      <c r="K22" s="9">
        <f t="shared" si="13"/>
        <v>0.97524130962622324</v>
      </c>
      <c r="L22" s="9">
        <f t="shared" si="13"/>
        <v>0.96824583214644011</v>
      </c>
      <c r="M22" s="9">
        <f t="shared" si="13"/>
        <v>0.95867123352037442</v>
      </c>
      <c r="N22" s="9">
        <f t="shared" si="13"/>
        <v>0.94532861847935845</v>
      </c>
      <c r="O22" s="9">
        <f t="shared" si="13"/>
        <v>0.92633210050185855</v>
      </c>
      <c r="P22" s="9">
        <f t="shared" si="13"/>
        <v>0.89841567214044826</v>
      </c>
      <c r="Q22" s="9">
        <f t="shared" si="13"/>
        <v>0.85385700398577447</v>
      </c>
    </row>
    <row r="23" spans="6:17" x14ac:dyDescent="0.3">
      <c r="F23" s="9" t="s">
        <v>11</v>
      </c>
      <c r="G23" s="9">
        <f>G14/G22</f>
        <v>134966.9176588376</v>
      </c>
      <c r="H23" s="9">
        <f t="shared" ref="H23:Q23" si="14">H14/H22</f>
        <v>134930.05545611549</v>
      </c>
      <c r="I23" s="9">
        <f t="shared" si="14"/>
        <v>134874.50965601264</v>
      </c>
      <c r="J23" s="9">
        <f t="shared" si="14"/>
        <v>134788.19186857692</v>
      </c>
      <c r="K23" s="9">
        <f t="shared" si="14"/>
        <v>134649.253876906</v>
      </c>
      <c r="L23" s="9">
        <f t="shared" si="14"/>
        <v>134416.34624053093</v>
      </c>
      <c r="M23" s="9">
        <f t="shared" si="14"/>
        <v>134006.79326127315</v>
      </c>
      <c r="N23" s="9">
        <f t="shared" si="14"/>
        <v>133243.55212754625</v>
      </c>
      <c r="O23" s="9">
        <f t="shared" si="14"/>
        <v>131710.58976013665</v>
      </c>
      <c r="P23" s="9">
        <f t="shared" si="14"/>
        <v>128275.73580400928</v>
      </c>
      <c r="Q23" s="9">
        <f t="shared" si="14"/>
        <v>118667.41096813456</v>
      </c>
    </row>
    <row r="30" spans="6:17" x14ac:dyDescent="0.3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15240</xdr:colOff>
                    <xdr:row>15</xdr:row>
                    <xdr:rowOff>7620</xdr:rowOff>
                  </from>
                  <to>
                    <xdr:col>4</xdr:col>
                    <xdr:colOff>15240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19"/>
  <sheetViews>
    <sheetView zoomScale="50" zoomScaleNormal="50" workbookViewId="0">
      <selection activeCell="R40" sqref="R40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3">
      <c r="B14" s="23" t="s">
        <v>15</v>
      </c>
      <c r="C14" s="23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3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17" x14ac:dyDescent="0.3">
      <c r="F17" s="9" t="s">
        <v>17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17" x14ac:dyDescent="0.3">
      <c r="F18" s="9" t="s">
        <v>18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17" x14ac:dyDescent="0.3">
      <c r="F19" s="9" t="s">
        <v>19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586740</xdr:colOff>
                    <xdr:row>15</xdr:row>
                    <xdr:rowOff>22860</xdr:rowOff>
                  </from>
                  <to>
                    <xdr:col>4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23"/>
  <sheetViews>
    <sheetView topLeftCell="A13" zoomScale="60" zoomScaleNormal="60" workbookViewId="0">
      <selection activeCell="T36" sqref="T36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3">
      <c r="B14" s="23" t="s">
        <v>15</v>
      </c>
      <c r="C14" s="23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3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17" x14ac:dyDescent="0.3">
      <c r="F17" s="9" t="s">
        <v>17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17" x14ac:dyDescent="0.3">
      <c r="F18" s="9" t="s">
        <v>18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17" x14ac:dyDescent="0.3">
      <c r="F19" s="9" t="s">
        <v>19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17" x14ac:dyDescent="0.3">
      <c r="F20" s="9" t="s">
        <v>20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17" x14ac:dyDescent="0.3">
      <c r="F21" s="9" t="s">
        <v>21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17" x14ac:dyDescent="0.3">
      <c r="F22" s="9" t="s">
        <v>22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17" x14ac:dyDescent="0.3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594360</xdr:colOff>
                    <xdr:row>15</xdr:row>
                    <xdr:rowOff>167640</xdr:rowOff>
                  </from>
                  <to>
                    <xdr:col>4</xdr:col>
                    <xdr:colOff>15240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M=1,5_Var</vt:lpstr>
      <vt:lpstr>Const_p135</vt:lpstr>
      <vt:lpstr>Var_p135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Naumov</dc:creator>
  <cp:lastModifiedBy>Windows User</cp:lastModifiedBy>
  <dcterms:created xsi:type="dcterms:W3CDTF">2021-05-23T07:23:58Z</dcterms:created>
  <dcterms:modified xsi:type="dcterms:W3CDTF">2021-05-23T11:35:54Z</dcterms:modified>
</cp:coreProperties>
</file>